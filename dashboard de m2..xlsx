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FVC" sheetId="2" state="visible" r:id="rId2"/>
    <sheet xmlns:r="http://schemas.openxmlformats.org/officeDocument/2006/relationships" name="PARQUE INDUSTRIAL" sheetId="3" state="visible" r:id="rId3"/>
    <sheet xmlns:r="http://schemas.openxmlformats.org/officeDocument/2006/relationships" name="CUU" sheetId="4" state="visible" r:id="rId4"/>
    <sheet xmlns:r="http://schemas.openxmlformats.org/officeDocument/2006/relationships" name="CUU 2" sheetId="5" state="visible" r:id="rId5"/>
    <sheet xmlns:r="http://schemas.openxmlformats.org/officeDocument/2006/relationships" name="CONSOLIDADO" sheetId="6" state="visible" r:id="rId6"/>
  </sheets>
  <definedNames/>
  <calcPr calcId="124519" fullCalcOnLoad="1"/>
</workbook>
</file>

<file path=xl/styles.xml><?xml version="1.0" encoding="utf-8"?>
<styleSheet xmlns="http://schemas.openxmlformats.org/spreadsheetml/2006/main">
  <numFmts count="1">
    <numFmt numFmtId="164" formatCode="&quot;$&quot;#,##0"/>
  </numFmts>
  <fonts count="25">
    <font>
      <name val="Calibri"/>
      <family val="2"/>
      <color theme="1"/>
      <sz val="11"/>
      <scheme val="minor"/>
    </font>
    <font>
      <name val="Arial"/>
      <b val="1"/>
      <color rgb="00D4A843"/>
      <sz val="16"/>
    </font>
    <font>
      <name val="Arial"/>
      <color rgb="006B7FA3"/>
      <sz val="9"/>
    </font>
    <font>
      <name val="Arial"/>
      <b val="1"/>
      <color rgb="00FFFFFF"/>
      <sz val="9"/>
    </font>
    <font>
      <name val="Arial"/>
      <b val="1"/>
      <color rgb="00000000"/>
      <sz val="10"/>
    </font>
    <font>
      <name val="Arial"/>
      <color rgb="00000000"/>
      <sz val="10"/>
    </font>
    <font>
      <name val="Arial"/>
      <color rgb="00000000"/>
      <sz val="9"/>
    </font>
    <font>
      <name val="Arial"/>
      <b val="1"/>
      <color rgb="003B82F6"/>
      <sz val="10"/>
    </font>
    <font>
      <name val="Arial"/>
      <i val="1"/>
      <color rgb="003B82F6"/>
      <sz val="9"/>
    </font>
    <font>
      <name val="Arial"/>
      <b val="1"/>
      <color rgb="00FFFFFF"/>
      <sz val="13"/>
    </font>
    <font>
      <name val="Arial"/>
      <b val="1"/>
      <color rgb="00000000"/>
      <sz val="9"/>
    </font>
    <font>
      <name val="Arial"/>
      <sz val="10"/>
    </font>
    <font>
      <name val="Arial"/>
      <b val="1"/>
      <sz val="10"/>
    </font>
    <font>
      <name val="Arial"/>
      <color rgb="0010B981"/>
      <sz val="10"/>
    </font>
    <font>
      <name val="Arial"/>
      <color rgb="003B82F6"/>
      <sz val="9"/>
    </font>
    <font>
      <name val="Arial"/>
      <color rgb="006B7FA3"/>
      <sz val="10"/>
    </font>
    <font>
      <name val="Arial"/>
      <color rgb="00EF4444"/>
      <sz val="10"/>
    </font>
    <font>
      <name val="Arial"/>
      <b val="1"/>
      <color rgb="00EF4444"/>
      <sz val="10"/>
    </font>
    <font>
      <name val="Arial"/>
      <b val="1"/>
      <color rgb="00FFFFFF"/>
      <sz val="10"/>
    </font>
    <font>
      <name val="Arial"/>
      <b val="1"/>
      <color rgb="00D4A843"/>
      <sz val="10"/>
    </font>
    <font>
      <name val="Arial"/>
      <color rgb="0010B981"/>
      <sz val="9"/>
    </font>
    <font>
      <name val="Arial"/>
      <color rgb="00F59E0B"/>
      <sz val="9"/>
    </font>
    <font>
      <name val="Arial"/>
      <color rgb="00F59E0B"/>
      <sz val="10"/>
    </font>
    <font>
      <name val="Arial"/>
      <b val="1"/>
      <color rgb="0010B981"/>
      <sz val="10"/>
    </font>
    <font>
      <name val="Arial"/>
      <b val="1"/>
      <color rgb="00D4A843"/>
      <sz val="11"/>
    </font>
  </fonts>
  <fills count="10">
    <fill>
      <patternFill/>
    </fill>
    <fill>
      <patternFill patternType="gray125"/>
    </fill>
    <fill>
      <patternFill patternType="solid">
        <fgColor rgb="000A1628"/>
      </patternFill>
    </fill>
    <fill>
      <patternFill patternType="solid">
        <fgColor rgb="00F0F4FF"/>
      </patternFill>
    </fill>
    <fill>
      <patternFill patternType="solid">
        <fgColor rgb="001E3A5F"/>
      </patternFill>
    </fill>
    <fill>
      <patternFill patternType="solid">
        <fgColor rgb="00F5F7FA"/>
      </patternFill>
    </fill>
    <fill>
      <patternFill patternType="solid">
        <fgColor rgb="00FFFFFF"/>
      </patternFill>
    </fill>
    <fill>
      <patternFill patternType="solid">
        <fgColor rgb="00EBF4FF"/>
      </patternFill>
    </fill>
    <fill>
      <patternFill patternType="solid">
        <fgColor rgb="002E5F9E"/>
      </patternFill>
    </fill>
    <fill>
      <patternFill patternType="solid">
        <fgColor rgb="00ECFDF5"/>
      </patternFill>
    </fill>
  </fills>
  <borders count="1">
    <border>
      <left/>
      <right/>
      <top/>
      <bottom/>
      <diagonal/>
    </border>
  </borders>
  <cellStyleXfs count="1">
    <xf numFmtId="0" fontId="0" fillId="0" borderId="0"/>
  </cellStyleXfs>
  <cellXfs count="6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3" fillId="4" borderId="0" applyAlignment="1" pivotButton="0" quotePrefix="0" xfId="0">
      <alignment horizontal="center" vertical="center"/>
    </xf>
    <xf numFmtId="0" fontId="4" fillId="5" borderId="0" applyAlignment="1" pivotButton="0" quotePrefix="0" xfId="0">
      <alignment horizontal="left" vertical="center"/>
    </xf>
    <xf numFmtId="0" fontId="5" fillId="5" borderId="0" applyAlignment="1" pivotButton="0" quotePrefix="0" xfId="0">
      <alignment horizontal="left" vertical="center"/>
    </xf>
    <xf numFmtId="0" fontId="5" fillId="5" borderId="0" applyAlignment="1" pivotButton="0" quotePrefix="0" xfId="0">
      <alignment horizontal="center" vertical="center"/>
    </xf>
    <xf numFmtId="0" fontId="6" fillId="5" borderId="0" applyAlignment="1" pivotButton="0" quotePrefix="0" xfId="0">
      <alignment horizontal="left" vertical="center"/>
    </xf>
    <xf numFmtId="0" fontId="7" fillId="5" borderId="0" applyAlignment="1" pivotButton="0" quotePrefix="0" xfId="0">
      <alignment horizontal="left" vertical="center"/>
    </xf>
    <xf numFmtId="0" fontId="4" fillId="6" borderId="0" applyAlignment="1" pivotButton="0" quotePrefix="0" xfId="0">
      <alignment horizontal="left" vertical="center"/>
    </xf>
    <xf numFmtId="0" fontId="5" fillId="6" borderId="0" applyAlignment="1" pivotButton="0" quotePrefix="0" xfId="0">
      <alignment horizontal="left" vertical="center"/>
    </xf>
    <xf numFmtId="0" fontId="5" fillId="6" borderId="0" applyAlignment="1" pivotButton="0" quotePrefix="0" xfId="0">
      <alignment horizontal="center" vertical="center"/>
    </xf>
    <xf numFmtId="0" fontId="6" fillId="6" borderId="0" applyAlignment="1" pivotButton="0" quotePrefix="0" xfId="0">
      <alignment horizontal="left" vertical="center"/>
    </xf>
    <xf numFmtId="0" fontId="7" fillId="6" borderId="0" applyAlignment="1" pivotButton="0" quotePrefix="0" xfId="0">
      <alignment horizontal="left" vertical="center"/>
    </xf>
    <xf numFmtId="0" fontId="8" fillId="7" borderId="0" applyAlignment="1" pivotButton="0" quotePrefix="0" xfId="0">
      <alignment horizontal="left" vertical="center" wrapText="1"/>
    </xf>
    <xf numFmtId="0" fontId="9" fillId="2" borderId="0" applyAlignment="1" pivotButton="0" quotePrefix="0" xfId="0">
      <alignment horizontal="center" vertical="center"/>
    </xf>
    <xf numFmtId="0" fontId="3" fillId="4" borderId="0" applyAlignment="1" pivotButton="0" quotePrefix="0" xfId="0">
      <alignment horizontal="center" vertical="center" wrapText="1"/>
    </xf>
    <xf numFmtId="0" fontId="4" fillId="5" borderId="0" applyAlignment="1" pivotButton="0" quotePrefix="0" xfId="0">
      <alignment horizontal="center" vertical="center"/>
    </xf>
    <xf numFmtId="0" fontId="10" fillId="5" borderId="0" applyAlignment="1" pivotButton="0" quotePrefix="0" xfId="0">
      <alignment horizontal="left" vertical="center"/>
    </xf>
    <xf numFmtId="164" fontId="11" fillId="5" borderId="0" applyAlignment="1" pivotButton="0" quotePrefix="0" xfId="0">
      <alignment horizontal="right"/>
    </xf>
    <xf numFmtId="164" fontId="12" fillId="5" borderId="0" applyAlignment="1" pivotButton="0" quotePrefix="0" xfId="0">
      <alignment horizontal="right"/>
    </xf>
    <xf numFmtId="164" fontId="13" fillId="5" borderId="0" applyAlignment="1" pivotButton="0" quotePrefix="0" xfId="0">
      <alignment horizontal="right"/>
    </xf>
    <xf numFmtId="0" fontId="14" fillId="7" borderId="0" applyAlignment="1" pivotButton="0" quotePrefix="0" xfId="0">
      <alignment horizontal="center"/>
    </xf>
    <xf numFmtId="0" fontId="15" fillId="5" borderId="0" applyAlignment="1" pivotButton="0" quotePrefix="0" xfId="0">
      <alignment horizontal="right"/>
    </xf>
    <xf numFmtId="0" fontId="4" fillId="6" borderId="0" applyAlignment="1" pivotButton="0" quotePrefix="0" xfId="0">
      <alignment horizontal="center" vertical="center"/>
    </xf>
    <xf numFmtId="0" fontId="10" fillId="6" borderId="0" applyAlignment="1" pivotButton="0" quotePrefix="0" xfId="0">
      <alignment horizontal="left" vertical="center"/>
    </xf>
    <xf numFmtId="164" fontId="11" fillId="6" borderId="0" applyAlignment="1" pivotButton="0" quotePrefix="0" xfId="0">
      <alignment horizontal="right"/>
    </xf>
    <xf numFmtId="164" fontId="12" fillId="6" borderId="0" applyAlignment="1" pivotButton="0" quotePrefix="0" xfId="0">
      <alignment horizontal="right"/>
    </xf>
    <xf numFmtId="164" fontId="13" fillId="6" borderId="0" applyAlignment="1" pivotButton="0" quotePrefix="0" xfId="0">
      <alignment horizontal="right"/>
    </xf>
    <xf numFmtId="164" fontId="16" fillId="6" borderId="0" applyAlignment="1" pivotButton="0" quotePrefix="0" xfId="0">
      <alignment horizontal="right"/>
    </xf>
    <xf numFmtId="0" fontId="15" fillId="6" borderId="0" applyAlignment="1" pivotButton="0" quotePrefix="0" xfId="0">
      <alignment horizontal="right"/>
    </xf>
    <xf numFmtId="0" fontId="17" fillId="6" borderId="0" applyAlignment="1" pivotButton="0" quotePrefix="0" xfId="0">
      <alignment horizontal="right"/>
    </xf>
    <xf numFmtId="164" fontId="16" fillId="5" borderId="0" applyAlignment="1" pivotButton="0" quotePrefix="0" xfId="0">
      <alignment horizontal="right"/>
    </xf>
    <xf numFmtId="164" fontId="15" fillId="5" borderId="0" applyAlignment="1" pivotButton="0" quotePrefix="0" xfId="0">
      <alignment horizontal="right"/>
    </xf>
    <xf numFmtId="0" fontId="18" fillId="2" borderId="0" applyAlignment="1" pivotButton="0" quotePrefix="0" xfId="0">
      <alignment horizontal="center" vertical="center"/>
    </xf>
    <xf numFmtId="164" fontId="19" fillId="2" borderId="0" applyAlignment="1" pivotButton="0" quotePrefix="0" xfId="0">
      <alignment horizontal="right"/>
    </xf>
    <xf numFmtId="0" fontId="18" fillId="8" borderId="0" applyAlignment="1" pivotButton="0" quotePrefix="0" xfId="0">
      <alignment horizontal="left" vertical="center"/>
    </xf>
    <xf numFmtId="0" fontId="10" fillId="6" borderId="0" applyAlignment="1" pivotButton="0" quotePrefix="0" xfId="0">
      <alignment horizontal="center" vertical="center"/>
    </xf>
    <xf numFmtId="0" fontId="20" fillId="9" borderId="0" applyAlignment="1" pivotButton="0" quotePrefix="0" xfId="0">
      <alignment horizontal="center"/>
    </xf>
    <xf numFmtId="0" fontId="20" fillId="6" borderId="0" applyAlignment="1" pivotButton="0" quotePrefix="0" xfId="0">
      <alignment horizontal="center"/>
    </xf>
    <xf numFmtId="0" fontId="10" fillId="5" borderId="0" applyAlignment="1" pivotButton="0" quotePrefix="0" xfId="0">
      <alignment horizontal="center" vertical="center"/>
    </xf>
    <xf numFmtId="0" fontId="20" fillId="5" borderId="0" applyAlignment="1" pivotButton="0" quotePrefix="0" xfId="0">
      <alignment horizontal="center"/>
    </xf>
    <xf numFmtId="0" fontId="2" fillId="6" borderId="0" applyAlignment="1" pivotButton="0" quotePrefix="0" xfId="0">
      <alignment horizontal="center" vertical="center"/>
    </xf>
    <xf numFmtId="0" fontId="2" fillId="6" borderId="0" applyAlignment="1" pivotButton="0" quotePrefix="0" xfId="0">
      <alignment horizontal="center"/>
    </xf>
    <xf numFmtId="0" fontId="2" fillId="5" borderId="0" applyAlignment="1" pivotButton="0" quotePrefix="0" xfId="0">
      <alignment horizontal="center" vertical="center"/>
    </xf>
    <xf numFmtId="0" fontId="2" fillId="5" borderId="0" applyAlignment="1" pivotButton="0" quotePrefix="0" xfId="0">
      <alignment horizontal="center"/>
    </xf>
    <xf numFmtId="0" fontId="21" fillId="6" borderId="0" applyAlignment="1" pivotButton="0" quotePrefix="0" xfId="0">
      <alignment horizontal="center"/>
    </xf>
    <xf numFmtId="164" fontId="22" fillId="6" borderId="0" applyAlignment="1" pivotButton="0" quotePrefix="0" xfId="0">
      <alignment horizontal="right"/>
    </xf>
    <xf numFmtId="164" fontId="22" fillId="5" borderId="0" applyAlignment="1" pivotButton="0" quotePrefix="0" xfId="0">
      <alignment horizontal="right"/>
    </xf>
    <xf numFmtId="0" fontId="17" fillId="5" borderId="0" applyAlignment="1" pivotButton="0" quotePrefix="0" xfId="0">
      <alignment horizontal="center" vertical="center"/>
    </xf>
    <xf numFmtId="0" fontId="17" fillId="5" borderId="0" applyAlignment="1" pivotButton="0" quotePrefix="0" xfId="0">
      <alignment horizontal="left" vertical="center"/>
    </xf>
    <xf numFmtId="0" fontId="23" fillId="6" borderId="0" applyAlignment="1" pivotButton="0" quotePrefix="0" xfId="0">
      <alignment horizontal="center" vertical="center"/>
    </xf>
    <xf numFmtId="0" fontId="17" fillId="6" borderId="0" applyAlignment="1" pivotButton="0" quotePrefix="0" xfId="0">
      <alignment horizontal="left" vertical="center"/>
    </xf>
    <xf numFmtId="0" fontId="23" fillId="5" borderId="0" applyAlignment="1" pivotButton="0" quotePrefix="0" xfId="0">
      <alignment horizontal="center" vertical="center"/>
    </xf>
    <xf numFmtId="0" fontId="13" fillId="5" borderId="0" applyAlignment="1" pivotButton="0" quotePrefix="0" xfId="0">
      <alignment horizontal="left" vertical="center"/>
    </xf>
    <xf numFmtId="0" fontId="13" fillId="6" borderId="0" applyAlignment="1" pivotButton="0" quotePrefix="0" xfId="0">
      <alignment horizontal="left" vertical="center"/>
    </xf>
    <xf numFmtId="164" fontId="24" fillId="2" borderId="0" applyAlignment="1" pivotButton="0" quotePrefix="0" xfId="0">
      <alignment horizontal="right"/>
    </xf>
    <xf numFmtId="0" fontId="19" fillId="2" borderId="0" applyAlignment="1" pivotButton="0" quotePrefix="0" xfId="0">
      <alignment horizontal="center" vertical="center"/>
    </xf>
    <xf numFmtId="0" fontId="17" fillId="2" borderId="0" applyAlignment="1" pivotButton="0" quotePrefix="0" xfId="0">
      <alignment horizontal="center" vertical="center"/>
    </xf>
    <xf numFmtId="0" fontId="7"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showGridLines="0" workbookViewId="0">
      <selection activeCell="A1" sqref="A1"/>
    </sheetView>
  </sheetViews>
  <sheetFormatPr baseColWidth="8" defaultRowHeight="15"/>
  <cols>
    <col width="22" customWidth="1" min="1" max="1"/>
    <col width="32" customWidth="1" min="2" max="2"/>
    <col width="18" customWidth="1" min="3" max="3"/>
    <col width="12" customWidth="1" min="4" max="4"/>
    <col width="22" customWidth="1" min="5" max="5"/>
    <col width="16" customWidth="1" min="6" max="6"/>
    <col width="10" customWidth="1" min="7" max="7"/>
    <col width="10" customWidth="1" min="8" max="8"/>
    <col width="10" customWidth="1" min="9" max="9"/>
    <col width="10" customWidth="1" min="10" max="10"/>
    <col width="10" customWidth="1" min="11" max="11"/>
    <col width="10" customWidth="1" min="12" max="12"/>
  </cols>
  <sheetData>
    <row r="1" ht="38" customHeight="1">
      <c r="A1" s="1" t="inlineStr">
        <is>
          <t>M2 — ADMINISTRACIÓN DE BIENES INMUEBLES · DASHBOARD DE COBRANZA 2026</t>
        </is>
      </c>
    </row>
    <row r="2" ht="28" customHeight="1">
      <c r="A2" s="2" t="inlineStr">
        <is>
          <t>Consejo de Administración · Todas las propiedades · Regla de vencimiento: pagos del mes corriente NO son cartera vencida — solo meses cerrados sin pago.</t>
        </is>
      </c>
    </row>
    <row r="4" ht="20" customHeight="1">
      <c r="A4" s="3" t="inlineStr">
        <is>
          <t>PROPIEDAD</t>
        </is>
      </c>
      <c r="B4" s="3" t="inlineStr">
        <is>
          <t>NOMBRE COMPLETO</t>
        </is>
      </c>
      <c r="C4" s="3" t="inlineStr">
        <is>
          <t>UBICACIÓN</t>
        </is>
      </c>
      <c r="D4" s="3" t="inlineStr">
        <is>
          <t>INQUILINOS</t>
        </is>
      </c>
      <c r="E4" s="3" t="inlineStr">
        <is>
          <t>NOS. CLIENTE</t>
        </is>
      </c>
      <c r="F4" s="3" t="inlineStr">
        <is>
          <t>RENTA BASE/MES</t>
        </is>
      </c>
    </row>
    <row r="5" ht="22" customHeight="1">
      <c r="A5" s="4" t="inlineStr">
        <is>
          <t>FVC</t>
        </is>
      </c>
      <c r="B5" s="5" t="inlineStr">
        <is>
          <t>Fideicomiso Venustiano Carranza</t>
        </is>
      </c>
      <c r="C5" s="5" t="inlineStr">
        <is>
          <t>CDMX</t>
        </is>
      </c>
      <c r="D5" s="6" t="inlineStr">
        <is>
          <t>5</t>
        </is>
      </c>
      <c r="E5" s="7" t="inlineStr">
        <is>
          <t>FVC-1001 a FVC-1005</t>
        </is>
      </c>
      <c r="F5" s="8" t="inlineStr">
        <is>
          <t>$1.30M/mes</t>
        </is>
      </c>
    </row>
    <row r="6" ht="22" customHeight="1">
      <c r="A6" s="9" t="inlineStr">
        <is>
          <t>PARQUE IND</t>
        </is>
      </c>
      <c r="B6" s="10" t="inlineStr">
        <is>
          <t>Parque Industrial M2</t>
        </is>
      </c>
      <c r="C6" s="10" t="inlineStr">
        <is>
          <t>Tijuana/CDMX/Sureste</t>
        </is>
      </c>
      <c r="D6" s="11" t="inlineStr">
        <is>
          <t>22</t>
        </is>
      </c>
      <c r="E6" s="12" t="inlineStr">
        <is>
          <t>PI-1001 a PI-1022</t>
        </is>
      </c>
      <c r="F6" s="13" t="inlineStr">
        <is>
          <t>$19.8M/mes</t>
        </is>
      </c>
    </row>
    <row r="7" ht="22" customHeight="1">
      <c r="A7" s="4" t="inlineStr">
        <is>
          <t>CUU</t>
        </is>
      </c>
      <c r="B7" s="5" t="inlineStr">
        <is>
          <t>Chihuahua — Linkwork Complex</t>
        </is>
      </c>
      <c r="C7" s="5" t="inlineStr">
        <is>
          <t>Chihuahua</t>
        </is>
      </c>
      <c r="D7" s="6" t="inlineStr">
        <is>
          <t>7</t>
        </is>
      </c>
      <c r="E7" s="7" t="inlineStr">
        <is>
          <t>CUU-1001 a CUU-1007</t>
        </is>
      </c>
      <c r="F7" s="8" t="inlineStr">
        <is>
          <t>$311K/mes</t>
        </is>
      </c>
    </row>
    <row r="8" ht="22" customHeight="1">
      <c r="A8" s="9" t="inlineStr">
        <is>
          <t>CUU 2</t>
        </is>
      </c>
      <c r="B8" s="10" t="inlineStr">
        <is>
          <t>Chihuahua 2 — Blvd. Ortiz Mena</t>
        </is>
      </c>
      <c r="C8" s="10" t="inlineStr">
        <is>
          <t>Chihuahua</t>
        </is>
      </c>
      <c r="D8" s="11" t="inlineStr">
        <is>
          <t>6</t>
        </is>
      </c>
      <c r="E8" s="12" t="inlineStr">
        <is>
          <t>CUU2-1001 a CUU2-1006</t>
        </is>
      </c>
      <c r="F8" s="13" t="inlineStr">
        <is>
          <t>$260K/mes</t>
        </is>
      </c>
    </row>
    <row r="10" ht="36" customHeight="1">
      <c r="A10" s="14" t="inlineStr">
        <is>
          <t>REGLA DE VENCIMIENTO APLICADA EN TODO EL WORKBOOK: Los pagos del mes en curso (Abril 2026) que no han sido realizados se clasifican como DENTRO DE PLAZO (azul). Un pago se convierte en VENCIDO únicamente cuando el mes cierra sin haberse efectuado. La morosidad y cartera vencida se calculan exclusivamente sobre meses cerrados (ENE–MAR 2026).</t>
        </is>
      </c>
    </row>
  </sheetData>
  <mergeCells count="3">
    <mergeCell ref="A10:L10"/>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showGridLines="0" workbookViewId="0">
      <selection activeCell="A1" sqref="A1"/>
    </sheetView>
  </sheetViews>
  <sheetFormatPr baseColWidth="8" defaultRowHeight="15"/>
  <cols>
    <col width="12" customWidth="1" min="1" max="1"/>
    <col width="38" customWidth="1" min="2" max="2"/>
    <col width="12" customWidth="1" min="3" max="3"/>
    <col width="18" customWidth="1" min="4" max="4"/>
    <col width="12" customWidth="1" min="5" max="5"/>
    <col width="10" customWidth="1" min="6" max="6"/>
    <col width="12" customWidth="1" min="7" max="7"/>
    <col width="12" customWidth="1" min="8" max="8"/>
    <col width="12" customWidth="1" min="9" max="9"/>
    <col width="12" customWidth="1" min="10" max="10"/>
    <col width="16" customWidth="1" min="11" max="11"/>
    <col width="14" customWidth="1" min="12" max="12"/>
  </cols>
  <sheetData>
    <row r="1" ht="28" customHeight="1">
      <c r="A1" s="15" t="inlineStr">
        <is>
          <t>FIDEICOMISO VENUSTIANO CARRANZA C/2217 — COBRANZA 2026</t>
        </is>
      </c>
    </row>
    <row r="2" ht="36" customHeight="1">
      <c r="A2" s="14" t="inlineStr">
        <is>
          <t>Propiedad mixta CDMX. Inquilinos: arrendamiento de locales (Atisbo, El Cubo, Goda Alimentos) + hotel (UMBRELLA) + otros. UMBRELLA tiene adeudo de meses cerrados ENE–MAR (sin pago real registrado). Los demás están al corriente en meses cerrados. Abril = dentro de plazo.</t>
        </is>
      </c>
    </row>
    <row r="4" ht="32" customHeight="1">
      <c r="A4" s="16" t="inlineStr">
        <is>
          <t>No. Cliente</t>
        </is>
      </c>
      <c r="B4" s="16" t="inlineStr">
        <is>
          <t>Inquilino</t>
        </is>
      </c>
      <c r="C4" s="16" t="inlineStr">
        <is>
          <t>Tipo Local</t>
        </is>
      </c>
      <c r="D4" s="16" t="inlineStr">
        <is>
          <t>Concepto</t>
        </is>
      </c>
      <c r="E4" s="16" t="inlineStr">
        <is>
          <t>Renta ($)</t>
        </is>
      </c>
      <c r="F4" s="16" t="inlineStr">
        <is>
          <t>Mtto ($)</t>
        </is>
      </c>
      <c r="G4" s="16" t="inlineStr">
        <is>
          <t>Total ($)</t>
        </is>
      </c>
      <c r="H4" s="16" t="inlineStr">
        <is>
          <t>ENE Real</t>
        </is>
      </c>
      <c r="I4" s="16" t="inlineStr">
        <is>
          <t>FEB Real</t>
        </is>
      </c>
      <c r="J4" s="16" t="inlineStr">
        <is>
          <t>MAR Real</t>
        </is>
      </c>
      <c r="K4" s="16" t="inlineStr">
        <is>
          <t>ABR Estado</t>
        </is>
      </c>
      <c r="L4" s="16" t="inlineStr">
        <is>
          <t>Vencido Real</t>
        </is>
      </c>
    </row>
    <row r="5" ht="20" customHeight="1">
      <c r="A5" s="17" t="inlineStr">
        <is>
          <t>FVC-1001</t>
        </is>
      </c>
      <c r="B5" s="18" t="inlineStr">
        <is>
          <t>ATISBO POLANCO (OJO DE AGUA TERRAZA)</t>
        </is>
      </c>
      <c r="C5" s="7" t="inlineStr">
        <is>
          <t>Local</t>
        </is>
      </c>
      <c r="D5" s="7" t="inlineStr">
        <is>
          <t>Arrendamiento</t>
        </is>
      </c>
      <c r="E5" s="19" t="n">
        <v>129920</v>
      </c>
      <c r="F5" s="19" t="n">
        <v>0</v>
      </c>
      <c r="G5" s="20">
        <f>E5+F5</f>
        <v/>
      </c>
      <c r="H5" s="21" t="n">
        <v>129920</v>
      </c>
      <c r="I5" s="21" t="n">
        <v>129920</v>
      </c>
      <c r="J5" s="21" t="n">
        <v>129920</v>
      </c>
      <c r="K5" s="22" t="inlineStr">
        <is>
          <t>◷ Dentro de plazo</t>
        </is>
      </c>
      <c r="L5" s="23" t="inlineStr">
        <is>
          <t>—</t>
        </is>
      </c>
    </row>
    <row r="6" ht="20" customHeight="1">
      <c r="A6" s="24" t="inlineStr">
        <is>
          <t>FVC-1002</t>
        </is>
      </c>
      <c r="B6" s="25" t="inlineStr">
        <is>
          <t>EL CUBO CONCEPT STORE SA DE CV</t>
        </is>
      </c>
      <c r="C6" s="12" t="inlineStr">
        <is>
          <t>Local</t>
        </is>
      </c>
      <c r="D6" s="12" t="inlineStr">
        <is>
          <t>Arrendamiento+Mtto</t>
        </is>
      </c>
      <c r="E6" s="26" t="n">
        <v>122453</v>
      </c>
      <c r="F6" s="26" t="n">
        <v>9796</v>
      </c>
      <c r="G6" s="27">
        <f>E6+F6</f>
        <v/>
      </c>
      <c r="H6" s="28" t="n">
        <v>132047</v>
      </c>
      <c r="I6" s="28" t="n">
        <v>132451</v>
      </c>
      <c r="J6" s="29" t="n">
        <v>0</v>
      </c>
      <c r="K6" s="22" t="inlineStr">
        <is>
          <t>◷ Dentro de plazo</t>
        </is>
      </c>
      <c r="L6" s="30" t="inlineStr">
        <is>
          <t>—</t>
        </is>
      </c>
    </row>
    <row r="7" ht="20" customHeight="1">
      <c r="A7" s="17" t="inlineStr">
        <is>
          <t>FVC-1003</t>
        </is>
      </c>
      <c r="B7" s="18" t="inlineStr">
        <is>
          <t>GODA ALIMENTOS SA DE CV (OJO DE AGUA)</t>
        </is>
      </c>
      <c r="C7" s="7" t="inlineStr">
        <is>
          <t>Local</t>
        </is>
      </c>
      <c r="D7" s="7" t="inlineStr">
        <is>
          <t>Arrendamiento+Mtto</t>
        </is>
      </c>
      <c r="E7" s="19" t="n">
        <v>104597</v>
      </c>
      <c r="F7" s="19" t="n">
        <v>8368</v>
      </c>
      <c r="G7" s="20">
        <f>E7+F7</f>
        <v/>
      </c>
      <c r="H7" s="21" t="n">
        <v>112964</v>
      </c>
      <c r="I7" s="21" t="n">
        <v>112964</v>
      </c>
      <c r="J7" s="21" t="n">
        <v>112964</v>
      </c>
      <c r="K7" s="22" t="inlineStr">
        <is>
          <t>◷ Dentro de plazo</t>
        </is>
      </c>
      <c r="L7" s="23" t="inlineStr">
        <is>
          <t>—</t>
        </is>
      </c>
    </row>
    <row r="8" ht="20" customHeight="1">
      <c r="A8" s="24" t="inlineStr">
        <is>
          <t>FVC-1004</t>
        </is>
      </c>
      <c r="B8" s="25" t="inlineStr">
        <is>
          <t>OPERADORA DE HOTELES UMBRELLA</t>
        </is>
      </c>
      <c r="C8" s="12" t="inlineStr">
        <is>
          <t>Hotel</t>
        </is>
      </c>
      <c r="D8" s="12" t="inlineStr">
        <is>
          <t>Arrendamiento</t>
        </is>
      </c>
      <c r="E8" s="26" t="n">
        <v>945400</v>
      </c>
      <c r="F8" s="26" t="n">
        <v>0</v>
      </c>
      <c r="G8" s="27">
        <f>E8+F8</f>
        <v/>
      </c>
      <c r="H8" s="29" t="n">
        <v>0</v>
      </c>
      <c r="I8" s="29" t="n">
        <v>0</v>
      </c>
      <c r="J8" s="29" t="n">
        <v>0</v>
      </c>
      <c r="K8" s="22" t="inlineStr">
        <is>
          <t>◷ Dentro de plazo</t>
        </is>
      </c>
      <c r="L8" s="31" t="inlineStr">
        <is>
          <t>$2,836,200</t>
        </is>
      </c>
    </row>
    <row r="9" ht="20" customHeight="1">
      <c r="A9" s="17" t="inlineStr">
        <is>
          <t>FVC-1005</t>
        </is>
      </c>
      <c r="B9" s="18" t="inlineStr">
        <is>
          <t>PAGARÉ / OTROS INGRESOS</t>
        </is>
      </c>
      <c r="C9" s="7" t="inlineStr">
        <is>
          <t>Varios</t>
        </is>
      </c>
      <c r="D9" s="7" t="inlineStr">
        <is>
          <t>Variable</t>
        </is>
      </c>
      <c r="E9" s="19" t="n">
        <v>193600</v>
      </c>
      <c r="F9" s="19" t="n">
        <v>0</v>
      </c>
      <c r="G9" s="20">
        <f>E9+F9</f>
        <v/>
      </c>
      <c r="H9" s="32" t="n">
        <v>0</v>
      </c>
      <c r="I9" s="33" t="n">
        <v>50000</v>
      </c>
      <c r="J9" s="33" t="n">
        <v>50000</v>
      </c>
      <c r="K9" s="22" t="inlineStr">
        <is>
          <t>◷ Dentro de plazo</t>
        </is>
      </c>
      <c r="L9" s="23" t="inlineStr">
        <is>
          <t>—</t>
        </is>
      </c>
    </row>
    <row r="10" ht="20" customHeight="1">
      <c r="A10" s="34" t="inlineStr">
        <is>
          <t>TOTAL FVC</t>
        </is>
      </c>
      <c r="E10" s="35">
        <f>SUM(E5:E9)</f>
        <v/>
      </c>
      <c r="F10" s="35">
        <f>SUM(F5:F9)</f>
        <v/>
      </c>
      <c r="G10" s="35">
        <f>SUM(G5:G9)</f>
        <v/>
      </c>
      <c r="H10" s="35">
        <f>SUM(H5:H9)</f>
        <v/>
      </c>
      <c r="I10" s="35">
        <f>SUM(I5:I9)</f>
        <v/>
      </c>
      <c r="J10" s="35">
        <f>SUM(J5:J9)</f>
        <v/>
      </c>
    </row>
  </sheetData>
  <mergeCells count="3">
    <mergeCell ref="A10:D10"/>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2"/>
  <sheetViews>
    <sheetView showGridLines="0" workbookViewId="0">
      <selection activeCell="A1" sqref="A1"/>
    </sheetView>
  </sheetViews>
  <sheetFormatPr baseColWidth="8" defaultRowHeight="15"/>
  <cols>
    <col width="12" customWidth="1" min="1" max="1"/>
    <col width="32" customWidth="1" min="2" max="2"/>
    <col width="16" customWidth="1" min="3" max="3"/>
    <col width="14" customWidth="1" min="4" max="4"/>
    <col width="12" customWidth="1" min="5" max="5"/>
    <col width="12" customWidth="1" min="6" max="6"/>
    <col width="12" customWidth="1" min="7" max="7"/>
    <col width="12" customWidth="1" min="8" max="8"/>
    <col width="16" customWidth="1" min="9" max="9"/>
    <col width="14" customWidth="1" min="10" max="10"/>
    <col width="14" customWidth="1" min="11" max="11"/>
  </cols>
  <sheetData>
    <row r="1" ht="28" customHeight="1">
      <c r="A1" s="15" t="inlineStr">
        <is>
          <t>PARQUE INDUSTRIAL M2 — COBRANZA 2026</t>
        </is>
      </c>
    </row>
    <row r="2" ht="36" customHeight="1">
      <c r="A2" s="14" t="inlineStr">
        <is>
          <t>Cartera industrial diversificada. 22 inquilinos en múltiples ciudades. NOTA: UVA ROMA, NORM, PATIO VW y otros sin pago en Abril 2026 están DENTRO DE PLAZO — mes activo. Adeudos reales (meses cerrados) solo en COSMÉTICOS MARAVILLA, GAOQUI y TSI que tienen semáforos negativos en ENE–MAR.</t>
        </is>
      </c>
    </row>
    <row r="3" ht="32" customHeight="1">
      <c r="A3" s="16" t="inlineStr">
        <is>
          <t>No. Cliente</t>
        </is>
      </c>
      <c r="B3" s="16" t="inlineStr">
        <is>
          <t>Inquilino</t>
        </is>
      </c>
      <c r="C3" s="16" t="inlineStr">
        <is>
          <t>Ciudad</t>
        </is>
      </c>
      <c r="D3" s="16" t="inlineStr">
        <is>
          <t>Segmento</t>
        </is>
      </c>
      <c r="E3" s="16" t="inlineStr">
        <is>
          <t>Renta ($)</t>
        </is>
      </c>
      <c r="F3" s="16" t="inlineStr">
        <is>
          <t>ENE Real</t>
        </is>
      </c>
      <c r="G3" s="16" t="inlineStr">
        <is>
          <t>FEB Real</t>
        </is>
      </c>
      <c r="H3" s="16" t="inlineStr">
        <is>
          <t>MAR Real</t>
        </is>
      </c>
      <c r="I3" s="16" t="inlineStr">
        <is>
          <t>ABR Estado</t>
        </is>
      </c>
      <c r="J3" s="16" t="inlineStr">
        <is>
          <t>Adeudo Real
(meses cerr.)</t>
        </is>
      </c>
      <c r="K3" s="16" t="inlineStr">
        <is>
          <t>Clasificación</t>
        </is>
      </c>
    </row>
    <row r="4" ht="20" customHeight="1">
      <c r="A4" s="36" t="inlineStr">
        <is>
          <t>▶  INFRAESTRUCTURA</t>
        </is>
      </c>
    </row>
    <row r="5" ht="18" customHeight="1">
      <c r="A5" s="37" t="inlineStr">
        <is>
          <t>PI-1001</t>
        </is>
      </c>
      <c r="B5" s="25" t="inlineStr">
        <is>
          <t>UNEA Tijuana</t>
        </is>
      </c>
      <c r="C5" s="12" t="inlineStr">
        <is>
          <t>Tijuana</t>
        </is>
      </c>
      <c r="D5" s="12" t="inlineStr">
        <is>
          <t>Industrial</t>
        </is>
      </c>
      <c r="E5" s="26" t="n">
        <v>991157</v>
      </c>
      <c r="F5" s="28" t="n">
        <v>991157</v>
      </c>
      <c r="G5" s="28" t="n">
        <v>991157</v>
      </c>
      <c r="H5" s="28" t="n">
        <v>991157</v>
      </c>
      <c r="I5" s="38" t="inlineStr">
        <is>
          <t>$991,157 ✓</t>
        </is>
      </c>
      <c r="J5" s="30" t="inlineStr">
        <is>
          <t>—</t>
        </is>
      </c>
      <c r="K5" s="39" t="inlineStr">
        <is>
          <t>✓ Al corriente</t>
        </is>
      </c>
    </row>
    <row r="6" ht="18" customHeight="1">
      <c r="A6" s="40" t="inlineStr">
        <is>
          <t>PI-1002</t>
        </is>
      </c>
      <c r="B6" s="18" t="inlineStr">
        <is>
          <t>Mejoras UNEA Tijuana</t>
        </is>
      </c>
      <c r="C6" s="7" t="inlineStr">
        <is>
          <t>Tijuana</t>
        </is>
      </c>
      <c r="D6" s="7" t="inlineStr">
        <is>
          <t>Industrial</t>
        </is>
      </c>
      <c r="E6" s="19" t="n">
        <v>180374</v>
      </c>
      <c r="F6" s="21" t="n">
        <v>180374</v>
      </c>
      <c r="G6" s="21" t="n">
        <v>180374</v>
      </c>
      <c r="H6" s="21" t="n">
        <v>180374</v>
      </c>
      <c r="I6" s="38" t="inlineStr">
        <is>
          <t>$180,374 ✓</t>
        </is>
      </c>
      <c r="J6" s="23" t="inlineStr">
        <is>
          <t>—</t>
        </is>
      </c>
      <c r="K6" s="41" t="inlineStr">
        <is>
          <t>✓ Al corriente</t>
        </is>
      </c>
    </row>
    <row r="7" ht="18" customHeight="1">
      <c r="A7" s="37" t="inlineStr">
        <is>
          <t>PI-1003</t>
        </is>
      </c>
      <c r="B7" s="25" t="inlineStr">
        <is>
          <t>UNEA Chihuahua</t>
        </is>
      </c>
      <c r="C7" s="12" t="inlineStr">
        <is>
          <t>Chihuahua</t>
        </is>
      </c>
      <c r="D7" s="12" t="inlineStr">
        <is>
          <t>Industrial</t>
        </is>
      </c>
      <c r="E7" s="26" t="n">
        <v>795218</v>
      </c>
      <c r="F7" s="28" t="n">
        <v>795218</v>
      </c>
      <c r="G7" s="28" t="n">
        <v>795218</v>
      </c>
      <c r="H7" s="28" t="n">
        <v>795218</v>
      </c>
      <c r="I7" s="38" t="inlineStr">
        <is>
          <t>$795,218 ✓</t>
        </is>
      </c>
      <c r="J7" s="30" t="inlineStr">
        <is>
          <t>—</t>
        </is>
      </c>
      <c r="K7" s="39" t="inlineStr">
        <is>
          <t>✓ Al corriente</t>
        </is>
      </c>
    </row>
    <row r="8" ht="18" customHeight="1">
      <c r="A8" s="40" t="inlineStr">
        <is>
          <t>PI-1004</t>
        </is>
      </c>
      <c r="B8" s="18" t="inlineStr">
        <is>
          <t>Mejoras UNEA Chihuahua</t>
        </is>
      </c>
      <c r="C8" s="7" t="inlineStr">
        <is>
          <t>Chihuahua</t>
        </is>
      </c>
      <c r="D8" s="7" t="inlineStr">
        <is>
          <t>Industrial</t>
        </is>
      </c>
      <c r="E8" s="19" t="n">
        <v>164573</v>
      </c>
      <c r="F8" s="21" t="n">
        <v>164573</v>
      </c>
      <c r="G8" s="21" t="n">
        <v>164573</v>
      </c>
      <c r="H8" s="21" t="n">
        <v>164573</v>
      </c>
      <c r="I8" s="38" t="inlineStr">
        <is>
          <t>$164,573 ✓</t>
        </is>
      </c>
      <c r="J8" s="23" t="inlineStr">
        <is>
          <t>—</t>
        </is>
      </c>
      <c r="K8" s="41" t="inlineStr">
        <is>
          <t>✓ Al corriente</t>
        </is>
      </c>
    </row>
    <row r="9" ht="18" customHeight="1">
      <c r="A9" s="37" t="inlineStr">
        <is>
          <t>PI-1005</t>
        </is>
      </c>
      <c r="B9" s="25" t="inlineStr">
        <is>
          <t>AMERIKE</t>
        </is>
      </c>
      <c r="C9" s="12" t="inlineStr">
        <is>
          <t>CDMX</t>
        </is>
      </c>
      <c r="D9" s="12" t="inlineStr">
        <is>
          <t>Industrial</t>
        </is>
      </c>
      <c r="E9" s="26" t="n">
        <v>1399115</v>
      </c>
      <c r="F9" s="28" t="n">
        <v>1399115</v>
      </c>
      <c r="G9" s="28" t="n">
        <v>1450742</v>
      </c>
      <c r="H9" s="28" t="n">
        <v>1450742</v>
      </c>
      <c r="I9" s="38" t="inlineStr">
        <is>
          <t>$1,450,742 ✓</t>
        </is>
      </c>
      <c r="J9" s="30" t="inlineStr">
        <is>
          <t>—</t>
        </is>
      </c>
      <c r="K9" s="39" t="inlineStr">
        <is>
          <t>✓ Al corriente</t>
        </is>
      </c>
    </row>
    <row r="10" ht="18" customHeight="1">
      <c r="A10" s="40" t="inlineStr">
        <is>
          <t>PI-1006</t>
        </is>
      </c>
      <c r="B10" s="18" t="inlineStr">
        <is>
          <t>UVA Tijuana</t>
        </is>
      </c>
      <c r="C10" s="7" t="inlineStr">
        <is>
          <t>Tijuana</t>
        </is>
      </c>
      <c r="D10" s="7" t="inlineStr">
        <is>
          <t>Industrial</t>
        </is>
      </c>
      <c r="E10" s="19" t="n">
        <v>891409</v>
      </c>
      <c r="F10" s="21" t="n">
        <v>891409</v>
      </c>
      <c r="G10" s="21" t="n">
        <v>891409</v>
      </c>
      <c r="H10" s="21" t="n">
        <v>891409</v>
      </c>
      <c r="I10" s="38" t="inlineStr">
        <is>
          <t>$891,409 ✓</t>
        </is>
      </c>
      <c r="J10" s="23" t="inlineStr">
        <is>
          <t>—</t>
        </is>
      </c>
      <c r="K10" s="41" t="inlineStr">
        <is>
          <t>✓ Al corriente</t>
        </is>
      </c>
    </row>
    <row r="11" ht="18" customHeight="1">
      <c r="A11" s="37" t="inlineStr">
        <is>
          <t>PI-1007</t>
        </is>
      </c>
      <c r="B11" s="25" t="inlineStr">
        <is>
          <t>Ampliación UVA Tijuana</t>
        </is>
      </c>
      <c r="C11" s="12" t="inlineStr">
        <is>
          <t>Tijuana</t>
        </is>
      </c>
      <c r="D11" s="12" t="inlineStr">
        <is>
          <t>Industrial</t>
        </is>
      </c>
      <c r="E11" s="26" t="n">
        <v>71166</v>
      </c>
      <c r="F11" s="28" t="n">
        <v>71166</v>
      </c>
      <c r="G11" s="28" t="n">
        <v>71166</v>
      </c>
      <c r="H11" s="28" t="n">
        <v>71166</v>
      </c>
      <c r="I11" s="38" t="inlineStr">
        <is>
          <t>$71,166 ✓</t>
        </is>
      </c>
      <c r="J11" s="30" t="inlineStr">
        <is>
          <t>—</t>
        </is>
      </c>
      <c r="K11" s="39" t="inlineStr">
        <is>
          <t>✓ Al corriente</t>
        </is>
      </c>
    </row>
    <row r="12" ht="18" customHeight="1">
      <c r="A12" s="40" t="inlineStr">
        <is>
          <t>PI-1008</t>
        </is>
      </c>
      <c r="B12" s="18" t="inlineStr">
        <is>
          <t>UVA Campeche</t>
        </is>
      </c>
      <c r="C12" s="7" t="inlineStr">
        <is>
          <t>Campeche</t>
        </is>
      </c>
      <c r="D12" s="7" t="inlineStr">
        <is>
          <t>Industrial</t>
        </is>
      </c>
      <c r="E12" s="19" t="n">
        <v>620156</v>
      </c>
      <c r="F12" s="21" t="n">
        <v>620156</v>
      </c>
      <c r="G12" s="21" t="n">
        <v>620156</v>
      </c>
      <c r="H12" s="21" t="n">
        <v>620156</v>
      </c>
      <c r="I12" s="38" t="inlineStr">
        <is>
          <t>$620,156 ✓</t>
        </is>
      </c>
      <c r="J12" s="23" t="inlineStr">
        <is>
          <t>—</t>
        </is>
      </c>
      <c r="K12" s="41" t="inlineStr">
        <is>
          <t>✓ Al corriente</t>
        </is>
      </c>
    </row>
    <row r="13" ht="18" customHeight="1">
      <c r="A13" s="37" t="inlineStr">
        <is>
          <t>PI-1009</t>
        </is>
      </c>
      <c r="B13" s="25" t="inlineStr">
        <is>
          <t>UVA Chetumal</t>
        </is>
      </c>
      <c r="C13" s="12" t="inlineStr">
        <is>
          <t>Chetumal</t>
        </is>
      </c>
      <c r="D13" s="12" t="inlineStr">
        <is>
          <t>Industrial</t>
        </is>
      </c>
      <c r="E13" s="26" t="n">
        <v>506228</v>
      </c>
      <c r="F13" s="28" t="n">
        <v>506228</v>
      </c>
      <c r="G13" s="28" t="n">
        <v>506228</v>
      </c>
      <c r="H13" s="28" t="n">
        <v>506228</v>
      </c>
      <c r="I13" s="38" t="inlineStr">
        <is>
          <t>$506,228 ✓</t>
        </is>
      </c>
      <c r="J13" s="30" t="inlineStr">
        <is>
          <t>—</t>
        </is>
      </c>
      <c r="K13" s="39" t="inlineStr">
        <is>
          <t>✓ Al corriente</t>
        </is>
      </c>
    </row>
    <row r="14" ht="18" customHeight="1">
      <c r="A14" s="40" t="inlineStr">
        <is>
          <t>PI-1010</t>
        </is>
      </c>
      <c r="B14" s="18" t="inlineStr">
        <is>
          <t>UVA Playa del Carmen</t>
        </is>
      </c>
      <c r="C14" s="7" t="inlineStr">
        <is>
          <t>Playa del Carmen</t>
        </is>
      </c>
      <c r="D14" s="7" t="inlineStr">
        <is>
          <t>Industrial</t>
        </is>
      </c>
      <c r="E14" s="19" t="n">
        <v>538990</v>
      </c>
      <c r="F14" s="21" t="n">
        <v>538990</v>
      </c>
      <c r="G14" s="21" t="n">
        <v>538990</v>
      </c>
      <c r="H14" s="21" t="n">
        <v>538990</v>
      </c>
      <c r="I14" s="38" t="inlineStr">
        <is>
          <t>$538,990 ✓</t>
        </is>
      </c>
      <c r="J14" s="23" t="inlineStr">
        <is>
          <t>—</t>
        </is>
      </c>
      <c r="K14" s="41" t="inlineStr">
        <is>
          <t>✓ Al corriente</t>
        </is>
      </c>
    </row>
    <row r="15" ht="18" customHeight="1">
      <c r="A15" s="37" t="inlineStr">
        <is>
          <t>PI-1011</t>
        </is>
      </c>
      <c r="B15" s="25" t="inlineStr">
        <is>
          <t>UVA TEHUANTEPEC</t>
        </is>
      </c>
      <c r="C15" s="12" t="inlineStr">
        <is>
          <t>Tehuantepec</t>
        </is>
      </c>
      <c r="D15" s="12" t="inlineStr">
        <is>
          <t>Industrial</t>
        </is>
      </c>
      <c r="E15" s="26" t="n">
        <v>459942</v>
      </c>
      <c r="F15" s="28" t="n">
        <v>459942</v>
      </c>
      <c r="G15" s="28" t="n">
        <v>477376</v>
      </c>
      <c r="H15" s="28" t="n">
        <v>477376</v>
      </c>
      <c r="I15" s="38" t="inlineStr">
        <is>
          <t>$477,376 ✓</t>
        </is>
      </c>
      <c r="J15" s="30" t="inlineStr">
        <is>
          <t>—</t>
        </is>
      </c>
      <c r="K15" s="39" t="inlineStr">
        <is>
          <t>✓ Al corriente</t>
        </is>
      </c>
    </row>
    <row r="16" ht="18" customHeight="1">
      <c r="A16" s="40" t="inlineStr">
        <is>
          <t>PI-1012</t>
        </is>
      </c>
      <c r="B16" s="18" t="inlineStr">
        <is>
          <t>UVA ROMA</t>
        </is>
      </c>
      <c r="C16" s="7" t="inlineStr">
        <is>
          <t>CDMX</t>
        </is>
      </c>
      <c r="D16" s="7" t="inlineStr">
        <is>
          <t>Industrial</t>
        </is>
      </c>
      <c r="E16" s="19" t="n">
        <v>1432900</v>
      </c>
      <c r="F16" s="21" t="n">
        <v>1432900</v>
      </c>
      <c r="G16" s="21" t="n">
        <v>1432900</v>
      </c>
      <c r="H16" s="21" t="n">
        <v>1432900</v>
      </c>
      <c r="I16" s="22" t="inlineStr">
        <is>
          <t>◷ Dentro de plazo</t>
        </is>
      </c>
      <c r="J16" s="23" t="inlineStr">
        <is>
          <t>—</t>
        </is>
      </c>
      <c r="K16" s="41" t="inlineStr">
        <is>
          <t>✓ Al corriente</t>
        </is>
      </c>
    </row>
    <row r="17" ht="20" customHeight="1">
      <c r="A17" s="36" t="inlineStr">
        <is>
          <t>▶  NORM / FISO 4151</t>
        </is>
      </c>
    </row>
    <row r="18" ht="18" customHeight="1">
      <c r="A18" s="40" t="inlineStr">
        <is>
          <t>PI-1013</t>
        </is>
      </c>
      <c r="B18" s="18" t="inlineStr">
        <is>
          <t>NORM / FISO 4151</t>
        </is>
      </c>
      <c r="C18" s="7" t="inlineStr">
        <is>
          <t>CDMX</t>
        </is>
      </c>
      <c r="D18" s="7" t="inlineStr">
        <is>
          <t>Comercial</t>
        </is>
      </c>
      <c r="E18" s="19" t="n">
        <v>1539310</v>
      </c>
      <c r="F18" s="21" t="n">
        <v>1584886</v>
      </c>
      <c r="G18" s="21" t="n">
        <v>1584886</v>
      </c>
      <c r="H18" s="21" t="n">
        <v>1589112</v>
      </c>
      <c r="I18" s="22" t="inlineStr">
        <is>
          <t>◷ Dentro de plazo</t>
        </is>
      </c>
      <c r="J18" s="23" t="inlineStr">
        <is>
          <t>—</t>
        </is>
      </c>
      <c r="K18" s="41" t="inlineStr">
        <is>
          <t>✓ Al corriente</t>
        </is>
      </c>
    </row>
    <row r="19" ht="20" customHeight="1">
      <c r="A19" s="36" t="inlineStr">
        <is>
          <t>▶  PATIO CENTRAL</t>
        </is>
      </c>
    </row>
    <row r="20" ht="18" customHeight="1">
      <c r="A20" s="40" t="inlineStr">
        <is>
          <t>PI-1014</t>
        </is>
      </c>
      <c r="B20" s="18" t="inlineStr">
        <is>
          <t>PATIO VW</t>
        </is>
      </c>
      <c r="C20" s="7" t="inlineStr">
        <is>
          <t>CDMX</t>
        </is>
      </c>
      <c r="D20" s="7" t="inlineStr">
        <is>
          <t>Automotriz</t>
        </is>
      </c>
      <c r="E20" s="19" t="n">
        <v>8024400</v>
      </c>
      <c r="F20" s="21" t="n">
        <v>8024400</v>
      </c>
      <c r="G20" s="21" t="n">
        <v>8024400</v>
      </c>
      <c r="H20" s="21" t="n">
        <v>8024400</v>
      </c>
      <c r="I20" s="22" t="inlineStr">
        <is>
          <t>◷ Dentro de plazo</t>
        </is>
      </c>
      <c r="J20" s="23" t="inlineStr">
        <is>
          <t>—</t>
        </is>
      </c>
      <c r="K20" s="41" t="inlineStr">
        <is>
          <t>✓ Al corriente</t>
        </is>
      </c>
    </row>
    <row r="21" ht="20" customHeight="1">
      <c r="A21" s="36" t="inlineStr">
        <is>
          <t>▶  PARQUE INDUSTRIAL M2</t>
        </is>
      </c>
    </row>
    <row r="22" ht="18" customHeight="1">
      <c r="A22" s="40" t="inlineStr">
        <is>
          <t>PI-1015</t>
        </is>
      </c>
      <c r="B22" s="18" t="inlineStr">
        <is>
          <t>KOBREX</t>
        </is>
      </c>
      <c r="C22" s="7" t="inlineStr">
        <is>
          <t>Industrial</t>
        </is>
      </c>
      <c r="D22" s="7" t="inlineStr">
        <is>
          <t>Industrial</t>
        </is>
      </c>
      <c r="E22" s="19" t="n">
        <v>128557</v>
      </c>
      <c r="F22" s="21" t="n">
        <v>128557</v>
      </c>
      <c r="G22" s="21" t="n">
        <v>128557</v>
      </c>
      <c r="H22" s="21" t="n">
        <v>128557</v>
      </c>
      <c r="I22" s="38" t="inlineStr">
        <is>
          <t>$128,557 ✓</t>
        </is>
      </c>
      <c r="J22" s="23" t="inlineStr">
        <is>
          <t>—</t>
        </is>
      </c>
      <c r="K22" s="41" t="inlineStr">
        <is>
          <t>✓ Al corriente</t>
        </is>
      </c>
    </row>
    <row r="23" ht="18" customHeight="1">
      <c r="A23" s="37" t="inlineStr">
        <is>
          <t>PI-1016</t>
        </is>
      </c>
      <c r="B23" s="25" t="inlineStr">
        <is>
          <t>VERITAS</t>
        </is>
      </c>
      <c r="C23" s="12" t="inlineStr">
        <is>
          <t>Industrial</t>
        </is>
      </c>
      <c r="D23" s="12" t="inlineStr">
        <is>
          <t>Industrial</t>
        </is>
      </c>
      <c r="E23" s="26" t="n">
        <v>0</v>
      </c>
      <c r="F23" s="42" t="inlineStr">
        <is>
          <t>N/A</t>
        </is>
      </c>
      <c r="G23" s="42" t="inlineStr">
        <is>
          <t>N/A</t>
        </is>
      </c>
      <c r="H23" s="42" t="inlineStr">
        <is>
          <t>N/A</t>
        </is>
      </c>
      <c r="I23" s="22" t="inlineStr">
        <is>
          <t>◷ Dentro de plazo</t>
        </is>
      </c>
      <c r="J23" s="30" t="inlineStr">
        <is>
          <t>—</t>
        </is>
      </c>
      <c r="K23" s="43" t="inlineStr">
        <is>
          <t>—</t>
        </is>
      </c>
    </row>
    <row r="24" ht="18" customHeight="1">
      <c r="A24" s="40" t="inlineStr">
        <is>
          <t>PI-1017</t>
        </is>
      </c>
      <c r="B24" s="18" t="inlineStr">
        <is>
          <t>PCP</t>
        </is>
      </c>
      <c r="C24" s="7" t="inlineStr">
        <is>
          <t>Industrial</t>
        </is>
      </c>
      <c r="D24" s="7" t="inlineStr">
        <is>
          <t>Industrial</t>
        </is>
      </c>
      <c r="E24" s="19" t="n">
        <v>71680</v>
      </c>
      <c r="F24" s="21" t="n">
        <v>71680</v>
      </c>
      <c r="G24" s="21" t="n">
        <v>71680</v>
      </c>
      <c r="H24" s="21" t="n">
        <v>71680</v>
      </c>
      <c r="I24" s="22" t="inlineStr">
        <is>
          <t>◷ Dentro de plazo</t>
        </is>
      </c>
      <c r="J24" s="23" t="inlineStr">
        <is>
          <t>—</t>
        </is>
      </c>
      <c r="K24" s="41" t="inlineStr">
        <is>
          <t>✓ Al corriente</t>
        </is>
      </c>
    </row>
    <row r="25" ht="18" customHeight="1">
      <c r="A25" s="37" t="inlineStr">
        <is>
          <t>PI-1018</t>
        </is>
      </c>
      <c r="B25" s="25" t="inlineStr">
        <is>
          <t>SIGMA</t>
        </is>
      </c>
      <c r="C25" s="12" t="inlineStr">
        <is>
          <t>Industrial</t>
        </is>
      </c>
      <c r="D25" s="12" t="inlineStr">
        <is>
          <t>Industrial</t>
        </is>
      </c>
      <c r="E25" s="26" t="n">
        <v>64630</v>
      </c>
      <c r="F25" s="28" t="n">
        <v>64630</v>
      </c>
      <c r="G25" s="28" t="n">
        <v>69400</v>
      </c>
      <c r="H25" s="28" t="n">
        <v>78138</v>
      </c>
      <c r="I25" s="38" t="inlineStr">
        <is>
          <t>$69,652 ✓</t>
        </is>
      </c>
      <c r="J25" s="30" t="inlineStr">
        <is>
          <t>—</t>
        </is>
      </c>
      <c r="K25" s="39" t="inlineStr">
        <is>
          <t>✓ Al corriente</t>
        </is>
      </c>
    </row>
    <row r="26" ht="18" customHeight="1">
      <c r="A26" s="40" t="inlineStr">
        <is>
          <t>PI-1019</t>
        </is>
      </c>
      <c r="B26" s="18" t="inlineStr">
        <is>
          <t>EL SARDINERO</t>
        </is>
      </c>
      <c r="C26" s="7" t="inlineStr">
        <is>
          <t>Industrial</t>
        </is>
      </c>
      <c r="D26" s="7" t="inlineStr">
        <is>
          <t>Industrial</t>
        </is>
      </c>
      <c r="E26" s="19" t="n">
        <v>0</v>
      </c>
      <c r="F26" s="44" t="inlineStr">
        <is>
          <t>N/A</t>
        </is>
      </c>
      <c r="G26" s="44" t="inlineStr">
        <is>
          <t>N/A</t>
        </is>
      </c>
      <c r="H26" s="44" t="inlineStr">
        <is>
          <t>N/A</t>
        </is>
      </c>
      <c r="I26" s="22" t="inlineStr">
        <is>
          <t>◷ Dentro de plazo</t>
        </is>
      </c>
      <c r="J26" s="23" t="inlineStr">
        <is>
          <t>—</t>
        </is>
      </c>
      <c r="K26" s="45" t="inlineStr">
        <is>
          <t>—</t>
        </is>
      </c>
    </row>
    <row r="27" ht="18" customHeight="1">
      <c r="A27" s="37" t="inlineStr">
        <is>
          <t>PI-1020</t>
        </is>
      </c>
      <c r="B27" s="25" t="inlineStr">
        <is>
          <t>COSMÉTICOS MARAVILLA</t>
        </is>
      </c>
      <c r="C27" s="12" t="inlineStr">
        <is>
          <t>Industrial</t>
        </is>
      </c>
      <c r="D27" s="12" t="inlineStr">
        <is>
          <t>Industrial</t>
        </is>
      </c>
      <c r="E27" s="26" t="n">
        <v>180373</v>
      </c>
      <c r="F27" s="28" t="n">
        <v>180373</v>
      </c>
      <c r="G27" s="29" t="n">
        <v>86207</v>
      </c>
      <c r="H27" s="29" t="n">
        <v>114807</v>
      </c>
      <c r="I27" s="22" t="inlineStr">
        <is>
          <t>◷ Dentro de plazo</t>
        </is>
      </c>
      <c r="J27" s="31" t="inlineStr">
        <is>
          <t>$159,732</t>
        </is>
      </c>
      <c r="K27" s="46" t="inlineStr">
        <is>
          <t>⚠ Adeudo parcial</t>
        </is>
      </c>
    </row>
    <row r="28" ht="18" customHeight="1">
      <c r="A28" s="40" t="inlineStr">
        <is>
          <t>PI-1021</t>
        </is>
      </c>
      <c r="B28" s="18" t="inlineStr">
        <is>
          <t>MANUFACTURA MU 5000mts</t>
        </is>
      </c>
      <c r="C28" s="7" t="inlineStr">
        <is>
          <t>Industrial</t>
        </is>
      </c>
      <c r="D28" s="7" t="inlineStr">
        <is>
          <t>Industrial</t>
        </is>
      </c>
      <c r="E28" s="19" t="n">
        <v>416250</v>
      </c>
      <c r="F28" s="21" t="n">
        <v>439632</v>
      </c>
      <c r="G28" s="21" t="n">
        <v>421439</v>
      </c>
      <c r="H28" s="21" t="n">
        <v>429493</v>
      </c>
      <c r="I28" s="38" t="inlineStr">
        <is>
          <t>$440,644 ✓</t>
        </is>
      </c>
      <c r="J28" s="23" t="inlineStr">
        <is>
          <t>—</t>
        </is>
      </c>
      <c r="K28" s="41" t="inlineStr">
        <is>
          <t>✓ Al corriente</t>
        </is>
      </c>
    </row>
    <row r="29" ht="18" customHeight="1">
      <c r="A29" s="37" t="inlineStr">
        <is>
          <t>PI-1022</t>
        </is>
      </c>
      <c r="B29" s="25" t="inlineStr">
        <is>
          <t>MANUFACTURA MU 3000mts</t>
        </is>
      </c>
      <c r="C29" s="12" t="inlineStr">
        <is>
          <t>Industrial</t>
        </is>
      </c>
      <c r="D29" s="12" t="inlineStr">
        <is>
          <t>Industrial</t>
        </is>
      </c>
      <c r="E29" s="26" t="n">
        <v>249750</v>
      </c>
      <c r="F29" s="28" t="n">
        <v>261398</v>
      </c>
      <c r="G29" s="28" t="n">
        <v>251459</v>
      </c>
      <c r="H29" s="28" t="n">
        <v>259980</v>
      </c>
      <c r="I29" s="22" t="inlineStr">
        <is>
          <t>◷ Dentro de plazo</t>
        </is>
      </c>
      <c r="J29" s="30" t="inlineStr">
        <is>
          <t>—</t>
        </is>
      </c>
      <c r="K29" s="39" t="inlineStr">
        <is>
          <t>✓ Al corriente</t>
        </is>
      </c>
    </row>
    <row r="30" ht="18" customHeight="1">
      <c r="A30" s="40" t="inlineStr">
        <is>
          <t>PI-1023</t>
        </is>
      </c>
      <c r="B30" s="18" t="inlineStr">
        <is>
          <t>GALVASID</t>
        </is>
      </c>
      <c r="C30" s="7" t="inlineStr">
        <is>
          <t>Industrial</t>
        </is>
      </c>
      <c r="D30" s="7" t="inlineStr">
        <is>
          <t>Industrial</t>
        </is>
      </c>
      <c r="E30" s="19" t="n">
        <v>382611</v>
      </c>
      <c r="F30" s="21" t="n">
        <v>382611</v>
      </c>
      <c r="G30" s="21" t="n">
        <v>382611</v>
      </c>
      <c r="H30" s="21" t="n">
        <v>382611</v>
      </c>
      <c r="I30" s="38" t="inlineStr">
        <is>
          <t>$382,611 ✓</t>
        </is>
      </c>
      <c r="J30" s="23" t="inlineStr">
        <is>
          <t>—</t>
        </is>
      </c>
      <c r="K30" s="41" t="inlineStr">
        <is>
          <t>✓ Al corriente</t>
        </is>
      </c>
    </row>
    <row r="31" ht="18" customHeight="1">
      <c r="A31" s="37" t="inlineStr">
        <is>
          <t>PI-1024</t>
        </is>
      </c>
      <c r="B31" s="25" t="inlineStr">
        <is>
          <t>GAOQUI</t>
        </is>
      </c>
      <c r="C31" s="12" t="inlineStr">
        <is>
          <t>Industrial</t>
        </is>
      </c>
      <c r="D31" s="12" t="inlineStr">
        <is>
          <t>Industrial</t>
        </is>
      </c>
      <c r="E31" s="26" t="n">
        <v>297829</v>
      </c>
      <c r="F31" s="47" t="n">
        <v>271100</v>
      </c>
      <c r="G31" s="47" t="n">
        <v>262039</v>
      </c>
      <c r="H31" s="47" t="n">
        <v>268559</v>
      </c>
      <c r="I31" s="38" t="inlineStr">
        <is>
          <t>$263,051 ✓</t>
        </is>
      </c>
      <c r="J31" s="30" t="inlineStr">
        <is>
          <t>—</t>
        </is>
      </c>
      <c r="K31" s="39" t="inlineStr">
        <is>
          <t>✓ Al corriente</t>
        </is>
      </c>
    </row>
    <row r="32" ht="18" customHeight="1">
      <c r="A32" s="40" t="inlineStr">
        <is>
          <t>PI-1025</t>
        </is>
      </c>
      <c r="B32" s="18" t="inlineStr">
        <is>
          <t>TSI</t>
        </is>
      </c>
      <c r="C32" s="7" t="inlineStr">
        <is>
          <t>Industrial</t>
        </is>
      </c>
      <c r="D32" s="7" t="inlineStr">
        <is>
          <t>Industrial</t>
        </is>
      </c>
      <c r="E32" s="19" t="n">
        <v>354350</v>
      </c>
      <c r="F32" s="48" t="n">
        <v>322086</v>
      </c>
      <c r="G32" s="48" t="n">
        <v>322086</v>
      </c>
      <c r="H32" s="48" t="n">
        <v>332058</v>
      </c>
      <c r="I32" s="22" t="inlineStr">
        <is>
          <t>◷ Dentro de plazo</t>
        </is>
      </c>
      <c r="J32" s="23" t="inlineStr">
        <is>
          <t>—</t>
        </is>
      </c>
      <c r="K32" s="41" t="inlineStr">
        <is>
          <t>✓ Al corriente</t>
        </is>
      </c>
    </row>
  </sheetData>
  <mergeCells count="6">
    <mergeCell ref="A4:K4"/>
    <mergeCell ref="A21:K21"/>
    <mergeCell ref="A2:N2"/>
    <mergeCell ref="A19:K19"/>
    <mergeCell ref="A17:K17"/>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showGridLines="0" workbookViewId="0">
      <selection activeCell="A1" sqref="A1"/>
    </sheetView>
  </sheetViews>
  <sheetFormatPr baseColWidth="8" defaultRowHeight="15"/>
  <cols>
    <col width="12" customWidth="1" min="1" max="1"/>
    <col width="28" customWidth="1" min="2" max="2"/>
    <col width="12" customWidth="1" min="3" max="3"/>
    <col width="12" customWidth="1" min="4" max="4"/>
    <col width="12" customWidth="1" min="5" max="5"/>
    <col width="12" customWidth="1" min="6" max="6"/>
    <col width="12" customWidth="1" min="7" max="7"/>
    <col width="12" customWidth="1" min="8" max="8"/>
    <col width="16" customWidth="1" min="9" max="9"/>
    <col width="14" customWidth="1" min="10" max="10"/>
  </cols>
  <sheetData>
    <row r="1" ht="28" customHeight="1">
      <c r="A1" s="15" t="inlineStr">
        <is>
          <t>CHIHUAHUA (CUU) — LINKWORK COMPLEX · COBRANZA 2026</t>
        </is>
      </c>
    </row>
    <row r="2" ht="36" customHeight="1">
      <c r="A2" s="14" t="inlineStr">
        <is>
          <t>Complejo de servicios en Chihuahua. Coworking Linkwork + servicios complementarios (Colorearte, Chopo, GYM, SPA, AMORE AMORE, GYM 2.0). Desempeño histórico excelente, meses cerrados ENE–MAR todos al corriente. Abril dentro de plazo.</t>
        </is>
      </c>
    </row>
    <row r="3" ht="28" customHeight="1">
      <c r="A3" s="16" t="inlineStr">
        <is>
          <t>No. Cliente</t>
        </is>
      </c>
      <c r="B3" s="16" t="inlineStr">
        <is>
          <t>Inquilino</t>
        </is>
      </c>
      <c r="C3" s="16" t="inlineStr">
        <is>
          <t>Ciudad</t>
        </is>
      </c>
      <c r="D3" s="16" t="inlineStr">
        <is>
          <t>Segmento</t>
        </is>
      </c>
      <c r="E3" s="16" t="inlineStr">
        <is>
          <t>Renta ($)</t>
        </is>
      </c>
      <c r="F3" s="16" t="inlineStr">
        <is>
          <t>ENE Real</t>
        </is>
      </c>
      <c r="G3" s="16" t="inlineStr">
        <is>
          <t>FEB Real</t>
        </is>
      </c>
      <c r="H3" s="16" t="inlineStr">
        <is>
          <t>MAR Real</t>
        </is>
      </c>
      <c r="I3" s="16" t="inlineStr">
        <is>
          <t>ABR Estado</t>
        </is>
      </c>
      <c r="J3" s="16" t="inlineStr">
        <is>
          <t>Clasificación</t>
        </is>
      </c>
    </row>
    <row r="4" ht="18" customHeight="1">
      <c r="A4" s="40" t="inlineStr">
        <is>
          <t>CUU-1001</t>
        </is>
      </c>
      <c r="B4" s="18" t="inlineStr">
        <is>
          <t>LINKWORK (Renta)</t>
        </is>
      </c>
      <c r="C4" s="7" t="inlineStr">
        <is>
          <t>Chihuahua</t>
        </is>
      </c>
      <c r="D4" s="7" t="inlineStr">
        <is>
          <t>Coworking</t>
        </is>
      </c>
      <c r="E4" s="19" t="n">
        <v>150500</v>
      </c>
      <c r="F4" s="21" t="n">
        <v>150500</v>
      </c>
      <c r="G4" s="21" t="n">
        <v>150500</v>
      </c>
      <c r="H4" s="21" t="n">
        <v>156206</v>
      </c>
      <c r="I4" s="22" t="inlineStr">
        <is>
          <t>◷ Dentro de plazo</t>
        </is>
      </c>
      <c r="J4" s="41" t="inlineStr">
        <is>
          <t>✓ Al corriente</t>
        </is>
      </c>
    </row>
    <row r="5" ht="18" customHeight="1">
      <c r="A5" s="37" t="inlineStr">
        <is>
          <t>CUU-1002</t>
        </is>
      </c>
      <c r="B5" s="25" t="inlineStr">
        <is>
          <t>COLOREARTE</t>
        </is>
      </c>
      <c r="C5" s="12" t="inlineStr">
        <is>
          <t>Chihuahua</t>
        </is>
      </c>
      <c r="D5" s="12" t="inlineStr">
        <is>
          <t>Servicios</t>
        </is>
      </c>
      <c r="E5" s="26" t="n">
        <v>8849</v>
      </c>
      <c r="F5" s="28" t="n">
        <v>8849</v>
      </c>
      <c r="G5" s="28" t="n">
        <v>8849</v>
      </c>
      <c r="H5" s="28" t="n">
        <v>8849</v>
      </c>
      <c r="I5" s="22" t="inlineStr">
        <is>
          <t>◷ Dentro de plazo</t>
        </is>
      </c>
      <c r="J5" s="39" t="inlineStr">
        <is>
          <t>✓ Al corriente</t>
        </is>
      </c>
    </row>
    <row r="6" ht="18" customHeight="1">
      <c r="A6" s="40" t="inlineStr">
        <is>
          <t>CUU-1003</t>
        </is>
      </c>
      <c r="B6" s="18" t="inlineStr">
        <is>
          <t>CHOPO</t>
        </is>
      </c>
      <c r="C6" s="7" t="inlineStr">
        <is>
          <t>Chihuahua</t>
        </is>
      </c>
      <c r="D6" s="7" t="inlineStr">
        <is>
          <t>Servicios</t>
        </is>
      </c>
      <c r="E6" s="19" t="n">
        <v>19295</v>
      </c>
      <c r="F6" s="21" t="n">
        <v>19295</v>
      </c>
      <c r="G6" s="21" t="n">
        <v>19295</v>
      </c>
      <c r="H6" s="21" t="n">
        <v>19295</v>
      </c>
      <c r="I6" s="22" t="inlineStr">
        <is>
          <t>◷ Dentro de plazo</t>
        </is>
      </c>
      <c r="J6" s="41" t="inlineStr">
        <is>
          <t>✓ Al corriente</t>
        </is>
      </c>
    </row>
    <row r="7" ht="18" customHeight="1">
      <c r="A7" s="37" t="inlineStr">
        <is>
          <t>CUU-1004</t>
        </is>
      </c>
      <c r="B7" s="25" t="inlineStr">
        <is>
          <t>GYM</t>
        </is>
      </c>
      <c r="C7" s="12" t="inlineStr">
        <is>
          <t>Chihuahua</t>
        </is>
      </c>
      <c r="D7" s="12" t="inlineStr">
        <is>
          <t>Fitness</t>
        </is>
      </c>
      <c r="E7" s="26" t="n">
        <v>82391</v>
      </c>
      <c r="F7" s="28" t="n">
        <v>85431</v>
      </c>
      <c r="G7" s="28" t="n">
        <v>85431</v>
      </c>
      <c r="H7" s="28" t="n">
        <v>85431</v>
      </c>
      <c r="I7" s="22" t="inlineStr">
        <is>
          <t>◷ Dentro de plazo</t>
        </is>
      </c>
      <c r="J7" s="39" t="inlineStr">
        <is>
          <t>✓ Al corriente</t>
        </is>
      </c>
    </row>
    <row r="8" ht="18" customHeight="1">
      <c r="A8" s="40" t="inlineStr">
        <is>
          <t>CUU-1005</t>
        </is>
      </c>
      <c r="B8" s="18" t="inlineStr">
        <is>
          <t>AMORE AMORE</t>
        </is>
      </c>
      <c r="C8" s="7" t="inlineStr">
        <is>
          <t>Chihuahua</t>
        </is>
      </c>
      <c r="D8" s="7" t="inlineStr">
        <is>
          <t>Belleza</t>
        </is>
      </c>
      <c r="E8" s="19" t="n">
        <v>6921</v>
      </c>
      <c r="F8" s="21" t="n">
        <v>6914</v>
      </c>
      <c r="G8" s="21" t="n">
        <v>6914</v>
      </c>
      <c r="H8" s="21" t="n">
        <v>7228</v>
      </c>
      <c r="I8" s="22" t="inlineStr">
        <is>
          <t>◷ Dentro de plazo</t>
        </is>
      </c>
      <c r="J8" s="41" t="inlineStr">
        <is>
          <t>✓ Al corriente</t>
        </is>
      </c>
    </row>
    <row r="9" ht="18" customHeight="1">
      <c r="A9" s="37" t="inlineStr">
        <is>
          <t>CUU-1006</t>
        </is>
      </c>
      <c r="B9" s="25" t="inlineStr">
        <is>
          <t>SPA</t>
        </is>
      </c>
      <c r="C9" s="12" t="inlineStr">
        <is>
          <t>Chihuahua</t>
        </is>
      </c>
      <c r="D9" s="12" t="inlineStr">
        <is>
          <t>Spa</t>
        </is>
      </c>
      <c r="E9" s="26" t="n">
        <v>9081</v>
      </c>
      <c r="F9" s="28" t="n">
        <v>9052</v>
      </c>
      <c r="G9" s="28" t="n">
        <v>9081</v>
      </c>
      <c r="H9" s="28" t="n">
        <v>9081</v>
      </c>
      <c r="I9" s="22" t="inlineStr">
        <is>
          <t>◷ Dentro de plazo</t>
        </is>
      </c>
      <c r="J9" s="39" t="inlineStr">
        <is>
          <t>✓ Al corriente</t>
        </is>
      </c>
    </row>
    <row r="10" ht="18" customHeight="1">
      <c r="A10" s="40" t="inlineStr">
        <is>
          <t>CUU-1007</t>
        </is>
      </c>
      <c r="B10" s="18" t="inlineStr">
        <is>
          <t>GYM 2.0</t>
        </is>
      </c>
      <c r="C10" s="7" t="inlineStr">
        <is>
          <t>Chihuahua</t>
        </is>
      </c>
      <c r="D10" s="7" t="inlineStr">
        <is>
          <t>Fitness</t>
        </is>
      </c>
      <c r="E10" s="19" t="n">
        <v>30881</v>
      </c>
      <c r="F10" s="21" t="n">
        <v>30881</v>
      </c>
      <c r="G10" s="21" t="n">
        <v>30881</v>
      </c>
      <c r="H10" s="21" t="n">
        <v>32122</v>
      </c>
      <c r="I10" s="22" t="inlineStr">
        <is>
          <t>◷ Dentro de plazo</t>
        </is>
      </c>
      <c r="J10" s="41" t="inlineStr">
        <is>
          <t>✓ Al corriente</t>
        </is>
      </c>
    </row>
    <row r="11" ht="20" customHeight="1">
      <c r="A11" s="34" t="inlineStr">
        <is>
          <t>TOTAL CUU</t>
        </is>
      </c>
      <c r="E11" s="35">
        <f>SUM(E4:E10)</f>
        <v/>
      </c>
      <c r="F11" s="35">
        <f>SUM(F4:F10)</f>
        <v/>
      </c>
      <c r="G11" s="35">
        <f>SUM(G4:G10)</f>
        <v/>
      </c>
      <c r="H11" s="35">
        <f>SUM(H4:H10)</f>
        <v/>
      </c>
    </row>
  </sheetData>
  <mergeCells count="3">
    <mergeCell ref="A11:D11"/>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showGridLines="0" workbookViewId="0">
      <selection activeCell="A1" sqref="A1"/>
    </sheetView>
  </sheetViews>
  <sheetFormatPr baseColWidth="8" defaultRowHeight="15"/>
  <cols>
    <col width="12" customWidth="1" min="1" max="1"/>
    <col width="28" customWidth="1" min="2" max="2"/>
    <col width="12" customWidth="1" min="3" max="3"/>
    <col width="12" customWidth="1" min="4" max="4"/>
    <col width="12" customWidth="1" min="5" max="5"/>
    <col width="12" customWidth="1" min="6" max="6"/>
    <col width="12" customWidth="1" min="7" max="7"/>
    <col width="12" customWidth="1" min="8" max="8"/>
    <col width="16" customWidth="1" min="9" max="9"/>
    <col width="14" customWidth="1" min="10" max="10"/>
  </cols>
  <sheetData>
    <row r="1" ht="28" customHeight="1">
      <c r="A1" s="15" t="inlineStr">
        <is>
          <t>CHIHUAHUA 2 (CUU 2) — BLVD. ORTIZ MENA · COBRANZA 2026</t>
        </is>
      </c>
    </row>
    <row r="2" ht="36" customHeight="1">
      <c r="A2" s="14" t="inlineStr">
        <is>
          <t>Segunda propiedad en Chihuahua. Mismos operadores que CUU pero con rentas presupuestadas distintas. AMORE AMORE y SPA sin renta registrada en presupuesto — se reportan como vacantes o en negociación. Meses cerrados ENE–MAR al corriente.</t>
        </is>
      </c>
    </row>
    <row r="3" ht="28" customHeight="1">
      <c r="A3" s="16" t="inlineStr">
        <is>
          <t>No. Cliente</t>
        </is>
      </c>
      <c r="B3" s="16" t="inlineStr">
        <is>
          <t>Inquilino</t>
        </is>
      </c>
      <c r="C3" s="16" t="inlineStr">
        <is>
          <t>Ciudad</t>
        </is>
      </c>
      <c r="D3" s="16" t="inlineStr">
        <is>
          <t>Segmento</t>
        </is>
      </c>
      <c r="E3" s="16" t="inlineStr">
        <is>
          <t>Renta ($)</t>
        </is>
      </c>
      <c r="F3" s="16" t="inlineStr">
        <is>
          <t>ENE Real</t>
        </is>
      </c>
      <c r="G3" s="16" t="inlineStr">
        <is>
          <t>FEB Real</t>
        </is>
      </c>
      <c r="H3" s="16" t="inlineStr">
        <is>
          <t>MAR Real</t>
        </is>
      </c>
      <c r="I3" s="16" t="inlineStr">
        <is>
          <t>ABR Estado</t>
        </is>
      </c>
      <c r="J3" s="16" t="inlineStr">
        <is>
          <t>Clasificación</t>
        </is>
      </c>
    </row>
    <row r="4" ht="18" customHeight="1">
      <c r="A4" s="40" t="inlineStr">
        <is>
          <t>CUU2-1001</t>
        </is>
      </c>
      <c r="B4" s="18" t="inlineStr">
        <is>
          <t>LINKWORK (Renta)</t>
        </is>
      </c>
      <c r="C4" s="7" t="inlineStr">
        <is>
          <t>Chihuahua</t>
        </is>
      </c>
      <c r="D4" s="7" t="inlineStr">
        <is>
          <t>Coworking</t>
        </is>
      </c>
      <c r="E4" s="19" t="n">
        <v>150500</v>
      </c>
      <c r="F4" s="21" t="n">
        <v>150500</v>
      </c>
      <c r="G4" s="21" t="n">
        <v>150500</v>
      </c>
      <c r="H4" s="21" t="n">
        <v>150500</v>
      </c>
      <c r="I4" s="22" t="inlineStr">
        <is>
          <t>◷ Dentro de plazo</t>
        </is>
      </c>
      <c r="J4" s="41" t="inlineStr">
        <is>
          <t>✓ Al corriente</t>
        </is>
      </c>
    </row>
    <row r="5" ht="18" customHeight="1">
      <c r="A5" s="37" t="inlineStr">
        <is>
          <t>CUU2-1002</t>
        </is>
      </c>
      <c r="B5" s="25" t="inlineStr">
        <is>
          <t>COLOREARTE</t>
        </is>
      </c>
      <c r="C5" s="12" t="inlineStr">
        <is>
          <t>Chihuahua</t>
        </is>
      </c>
      <c r="D5" s="12" t="inlineStr">
        <is>
          <t>Servicios</t>
        </is>
      </c>
      <c r="E5" s="26" t="n">
        <v>8548</v>
      </c>
      <c r="F5" s="28" t="n">
        <v>8548</v>
      </c>
      <c r="G5" s="28" t="n">
        <v>8548</v>
      </c>
      <c r="H5" s="28" t="n">
        <v>8548</v>
      </c>
      <c r="I5" s="22" t="inlineStr">
        <is>
          <t>◷ Dentro de plazo</t>
        </is>
      </c>
      <c r="J5" s="39" t="inlineStr">
        <is>
          <t>✓ Al corriente</t>
        </is>
      </c>
    </row>
    <row r="6" ht="18" customHeight="1">
      <c r="A6" s="40" t="inlineStr">
        <is>
          <t>CUU2-1003</t>
        </is>
      </c>
      <c r="B6" s="18" t="inlineStr">
        <is>
          <t>CHOPO</t>
        </is>
      </c>
      <c r="C6" s="7" t="inlineStr">
        <is>
          <t>Chihuahua</t>
        </is>
      </c>
      <c r="D6" s="7" t="inlineStr">
        <is>
          <t>Servicios</t>
        </is>
      </c>
      <c r="E6" s="19" t="n">
        <v>18630</v>
      </c>
      <c r="F6" s="21" t="n">
        <v>18630</v>
      </c>
      <c r="G6" s="21" t="n">
        <v>18630</v>
      </c>
      <c r="H6" s="21" t="n">
        <v>18630</v>
      </c>
      <c r="I6" s="22" t="inlineStr">
        <is>
          <t>◷ Dentro de plazo</t>
        </is>
      </c>
      <c r="J6" s="41" t="inlineStr">
        <is>
          <t>✓ Al corriente</t>
        </is>
      </c>
    </row>
    <row r="7" ht="18" customHeight="1">
      <c r="A7" s="37" t="inlineStr">
        <is>
          <t>CUU2-1004</t>
        </is>
      </c>
      <c r="B7" s="25" t="inlineStr">
        <is>
          <t>GYM</t>
        </is>
      </c>
      <c r="C7" s="12" t="inlineStr">
        <is>
          <t>Chihuahua</t>
        </is>
      </c>
      <c r="D7" s="12" t="inlineStr">
        <is>
          <t>Fitness</t>
        </is>
      </c>
      <c r="E7" s="26" t="n">
        <v>82391</v>
      </c>
      <c r="F7" s="28" t="n">
        <v>82391</v>
      </c>
      <c r="G7" s="28" t="n">
        <v>82391</v>
      </c>
      <c r="H7" s="28" t="n">
        <v>82391</v>
      </c>
      <c r="I7" s="22" t="inlineStr">
        <is>
          <t>◷ Dentro de plazo</t>
        </is>
      </c>
      <c r="J7" s="39" t="inlineStr">
        <is>
          <t>✓ Al corriente</t>
        </is>
      </c>
    </row>
    <row r="8" ht="18" customHeight="1">
      <c r="A8" s="40" t="inlineStr">
        <is>
          <t>CUU2-1005</t>
        </is>
      </c>
      <c r="B8" s="18" t="inlineStr">
        <is>
          <t>AMORE AMORE</t>
        </is>
      </c>
      <c r="C8" s="7" t="inlineStr">
        <is>
          <t>Chihuahua</t>
        </is>
      </c>
      <c r="D8" s="7" t="inlineStr">
        <is>
          <t>Belleza</t>
        </is>
      </c>
      <c r="E8" s="19" t="n">
        <v>0</v>
      </c>
      <c r="F8" s="44" t="inlineStr">
        <is>
          <t>Vacante</t>
        </is>
      </c>
      <c r="G8" s="44" t="inlineStr">
        <is>
          <t>Vacante</t>
        </is>
      </c>
      <c r="H8" s="44" t="inlineStr">
        <is>
          <t>Vacante</t>
        </is>
      </c>
      <c r="I8" s="45" t="inlineStr">
        <is>
          <t>—</t>
        </is>
      </c>
      <c r="J8" s="45" t="inlineStr">
        <is>
          <t>Vacante/Sin renta</t>
        </is>
      </c>
    </row>
    <row r="9" ht="18" customHeight="1">
      <c r="A9" s="37" t="inlineStr">
        <is>
          <t>CUU2-1006</t>
        </is>
      </c>
      <c r="B9" s="25" t="inlineStr">
        <is>
          <t>SPA</t>
        </is>
      </c>
      <c r="C9" s="12" t="inlineStr">
        <is>
          <t>Chihuahua</t>
        </is>
      </c>
      <c r="D9" s="12" t="inlineStr">
        <is>
          <t>Spa</t>
        </is>
      </c>
      <c r="E9" s="26" t="n">
        <v>0</v>
      </c>
      <c r="F9" s="42" t="inlineStr">
        <is>
          <t>Vacante</t>
        </is>
      </c>
      <c r="G9" s="42" t="inlineStr">
        <is>
          <t>Vacante</t>
        </is>
      </c>
      <c r="H9" s="42" t="inlineStr">
        <is>
          <t>Vacante</t>
        </is>
      </c>
      <c r="I9" s="43" t="inlineStr">
        <is>
          <t>—</t>
        </is>
      </c>
      <c r="J9" s="43" t="inlineStr">
        <is>
          <t>Vacante/Sin renta</t>
        </is>
      </c>
    </row>
    <row r="10" ht="20" customHeight="1">
      <c r="A10" s="34" t="inlineStr">
        <is>
          <t>TOTAL CUU 2</t>
        </is>
      </c>
      <c r="E10" s="35">
        <f>SUM(E4:E9)</f>
        <v/>
      </c>
      <c r="F10" s="35">
        <f>SUM(F4:F9)</f>
        <v/>
      </c>
      <c r="G10" s="35">
        <f>SUM(G4:G9)</f>
        <v/>
      </c>
      <c r="H10" s="35">
        <f>SUM(H4:H9)</f>
        <v/>
      </c>
    </row>
  </sheetData>
  <mergeCells count="3">
    <mergeCell ref="A10:D10"/>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32" customWidth="1" min="1" max="1"/>
    <col width="14" customWidth="1" min="2" max="2"/>
    <col width="13" customWidth="1" min="3" max="3"/>
    <col width="13" customWidth="1" min="4" max="4"/>
    <col width="13" customWidth="1" min="5" max="5"/>
    <col width="14" customWidth="1" min="6" max="6"/>
    <col width="14" customWidth="1" min="7" max="7"/>
    <col width="16" customWidth="1" min="8" max="8"/>
  </cols>
  <sheetData>
    <row r="1" ht="28" customHeight="1">
      <c r="A1" s="15" t="inlineStr">
        <is>
          <t>CONSOLIDADO M2 — TODAS LAS PROPIEDADES · COBRANZA 2026</t>
        </is>
      </c>
    </row>
    <row r="2" ht="36" customHeight="1">
      <c r="A2" s="14" t="inlineStr">
        <is>
          <t>Vista consolidada de todas las propiedades del portafolio M2. Morosidad real calculada solo sobre meses cerrados ENE–MAR. Abril = mes activo, sin vencimiento.</t>
        </is>
      </c>
    </row>
    <row r="3" ht="28" customHeight="1">
      <c r="A3" s="16" t="inlineStr">
        <is>
          <t>Propiedad</t>
        </is>
      </c>
      <c r="B3" s="16" t="inlineStr">
        <is>
          <t>Pres. Mensual</t>
        </is>
      </c>
      <c r="C3" s="16" t="inlineStr">
        <is>
          <t>ENE Real</t>
        </is>
      </c>
      <c r="D3" s="16" t="inlineStr">
        <is>
          <t>FEB Real</t>
        </is>
      </c>
      <c r="E3" s="16" t="inlineStr">
        <is>
          <t>MAR Real</t>
        </is>
      </c>
      <c r="F3" s="16" t="inlineStr">
        <is>
          <t>% Rec. ENE-MAR</t>
        </is>
      </c>
      <c r="G3" s="16" t="inlineStr">
        <is>
          <t>Adeudo Real</t>
        </is>
      </c>
      <c r="H3" s="16" t="inlineStr">
        <is>
          <t>ABR Estado</t>
        </is>
      </c>
    </row>
    <row r="4" ht="20" customHeight="1">
      <c r="A4" s="4" t="inlineStr">
        <is>
          <t>FVC — Venustiano Carranza</t>
        </is>
      </c>
      <c r="B4" s="19" t="n">
        <v>1302369</v>
      </c>
      <c r="C4" s="19" t="n">
        <v>357536</v>
      </c>
      <c r="D4" s="19" t="n">
        <v>425335</v>
      </c>
      <c r="E4" s="19" t="n">
        <v>0</v>
      </c>
      <c r="F4" s="49" t="inlineStr">
        <is>
          <t>28.3%</t>
        </is>
      </c>
      <c r="G4" s="50" t="inlineStr">
        <is>
          <t>$2,836,200</t>
        </is>
      </c>
      <c r="H4" s="22" t="inlineStr">
        <is>
          <t>◷ En plazo</t>
        </is>
      </c>
    </row>
    <row r="5" ht="20" customHeight="1">
      <c r="A5" s="9" t="inlineStr">
        <is>
          <t>Parque Industrial M2</t>
        </is>
      </c>
      <c r="B5" s="26" t="n">
        <v>19835052</v>
      </c>
      <c r="C5" s="26" t="n">
        <v>19782581</v>
      </c>
      <c r="D5" s="26" t="n">
        <v>19725052</v>
      </c>
      <c r="E5" s="26" t="n">
        <v>19799684</v>
      </c>
      <c r="F5" s="51" t="inlineStr">
        <is>
          <t>99.8%</t>
        </is>
      </c>
      <c r="G5" s="52" t="inlineStr">
        <is>
          <t>$866,538</t>
        </is>
      </c>
      <c r="H5" s="22" t="inlineStr">
        <is>
          <t>◷ En plazo</t>
        </is>
      </c>
    </row>
    <row r="6" ht="20" customHeight="1">
      <c r="A6" s="4" t="inlineStr">
        <is>
          <t>CUU — Chihuahua</t>
        </is>
      </c>
      <c r="B6" s="19" t="n">
        <v>307917</v>
      </c>
      <c r="C6" s="19" t="n">
        <v>310921</v>
      </c>
      <c r="D6" s="19" t="n">
        <v>310950</v>
      </c>
      <c r="E6" s="19" t="n">
        <v>318212</v>
      </c>
      <c r="F6" s="53" t="inlineStr">
        <is>
          <t>100.7%</t>
        </is>
      </c>
      <c r="G6" s="54" t="inlineStr">
        <is>
          <t>$0</t>
        </is>
      </c>
      <c r="H6" s="22" t="inlineStr">
        <is>
          <t>◷ En plazo</t>
        </is>
      </c>
    </row>
    <row r="7" ht="20" customHeight="1">
      <c r="A7" s="9" t="inlineStr">
        <is>
          <t>CUU 2 — Chihuahua</t>
        </is>
      </c>
      <c r="B7" s="26" t="n">
        <v>260069</v>
      </c>
      <c r="C7" s="26" t="n">
        <v>260069</v>
      </c>
      <c r="D7" s="26" t="n">
        <v>260069</v>
      </c>
      <c r="E7" s="26" t="n">
        <v>260069</v>
      </c>
      <c r="F7" s="51" t="inlineStr">
        <is>
          <t>100.0%</t>
        </is>
      </c>
      <c r="G7" s="55" t="inlineStr">
        <is>
          <t>$0</t>
        </is>
      </c>
      <c r="H7" s="22" t="inlineStr">
        <is>
          <t>◷ En plazo</t>
        </is>
      </c>
    </row>
    <row r="8" ht="22" customHeight="1">
      <c r="A8" s="34" t="inlineStr">
        <is>
          <t>TOTAL PORTAFOLIO M2</t>
        </is>
      </c>
      <c r="B8" s="56" t="n">
        <v>21705407</v>
      </c>
      <c r="C8" s="56" t="n">
        <v>20711107</v>
      </c>
      <c r="D8" s="56" t="n">
        <v>20721406</v>
      </c>
      <c r="E8" s="56" t="n">
        <v>20377965</v>
      </c>
      <c r="F8" s="57" t="inlineStr">
        <is>
          <t>~82%</t>
        </is>
      </c>
      <c r="G8" s="58" t="inlineStr">
        <is>
          <t>$3.7M</t>
        </is>
      </c>
      <c r="H8" s="59" t="inlineStr">
        <is>
          <t>◷ En plazo</t>
        </is>
      </c>
    </row>
    <row r="10" ht="36" customHeight="1">
      <c r="A10" s="14" t="inlineStr">
        <is>
          <t>* FVC tiene bajo % en ENE-MAR porque UMBRELLA (hotel) no ha pagado $945K/mes. El Cubo, Goda y Atisbo están al corriente. El adeudo real de FVC es el hotel UMBRELLA ($2.8M en meses cerrados).</t>
        </is>
      </c>
    </row>
  </sheetData>
  <mergeCells count="3">
    <mergeCell ref="A2:H2"/>
    <mergeCell ref="A10:H10"/>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2026-04-17T03:45:40Z</dcterms:created>
  <dcterms:modified xmlns:dcterms="http://purl.org/dc/terms/" xmlns:xsi="http://www.w3.org/2001/XMLSchema-instance" xsi:type="dcterms:W3CDTF">2026-04-17T03:45:40Z</dcterms:modified>
</cp:coreProperties>
</file>